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NOTES">Sheet1!$C$4:$D$7</definedName>
  </definedNames>
  <calcPr/>
</workbook>
</file>

<file path=xl/sharedStrings.xml><?xml version="1.0" encoding="utf-8"?>
<sst xmlns="http://schemas.openxmlformats.org/spreadsheetml/2006/main" count="24" uniqueCount="23">
  <si>
    <t>EXAMPLE CONTRACT $</t>
  </si>
  <si>
    <t>Corpo INPUT TAX %</t>
  </si>
  <si>
    <t>NET(tax % reduced)</t>
  </si>
  <si>
    <t>Total Personal Expenses</t>
  </si>
  <si>
    <t>Expenses(use N/A if needed)</t>
  </si>
  <si>
    <r>
      <rPr>
        <rFont val="Times New Roman"/>
        <b/>
        <color rgb="FFFFFFFF"/>
        <sz val="11.0"/>
      </rPr>
      <t>Miles to cost calculator</t>
    </r>
    <r>
      <rPr>
        <rFont val="Times New Roman"/>
        <b/>
        <color rgb="FFFFFFFF"/>
        <sz val="11.0"/>
        <u/>
      </rPr>
      <t>($0.11 / mile)</t>
    </r>
  </si>
  <si>
    <t>Name(ex: GAS)</t>
  </si>
  <si>
    <t>COST TOTAL(ex:$27.63</t>
  </si>
  <si>
    <t>EXTRA INFO(ex: Miles:67.23)</t>
  </si>
  <si>
    <t>Input Total Miles</t>
  </si>
  <si>
    <t>OUTPUT COST</t>
  </si>
  <si>
    <t>PAYOUT INFO</t>
  </si>
  <si>
    <t>NOTES</t>
  </si>
  <si>
    <t>Contractor %</t>
  </si>
  <si>
    <t>CyberNest Holdings %</t>
  </si>
  <si>
    <r>
      <rPr>
        <rFont val="Times New Roman"/>
        <b/>
        <color rgb="FF000000"/>
        <sz val="10.0"/>
        <u/>
      </rPr>
      <t xml:space="preserve">How to Use This Sheet
</t>
    </r>
    <r>
      <rPr>
        <rFont val="Times New Roman"/>
        <b val="0"/>
        <color rgb="FF000000"/>
        <sz val="10.0"/>
        <u/>
      </rPr>
      <t xml:space="preserve">1. </t>
    </r>
    <r>
      <rPr>
        <rFont val="Times New Roman"/>
        <b/>
        <color rgb="FF000000"/>
        <sz val="10.0"/>
        <u/>
      </rPr>
      <t>Gross Payout</t>
    </r>
    <r>
      <rPr>
        <rFont val="Times New Roman"/>
        <b val="0"/>
        <color rgb="FF000000"/>
        <sz val="10.0"/>
        <u/>
      </rPr>
      <t>: Enter the contract's GROSS payout total in cell A2.
2.</t>
    </r>
    <r>
      <rPr>
        <rFont val="Times New Roman"/>
        <b/>
        <color rgb="FF000000"/>
        <sz val="10.0"/>
        <u/>
      </rPr>
      <t xml:space="preserve"> </t>
    </r>
    <r>
      <rPr>
        <rFont val="Times New Roman"/>
        <b/>
        <color rgb="FF000000"/>
        <sz val="10.0"/>
        <u/>
      </rPr>
      <t>Tax Rate</t>
    </r>
    <r>
      <rPr>
        <rFont val="Times New Roman"/>
        <b val="0"/>
        <color rgb="FF000000"/>
        <sz val="10.0"/>
        <u/>
      </rPr>
      <t xml:space="preserve">: Input your estimated tax percentage in % or decimal format (e.g., 0.25) in cell B2.
3. </t>
    </r>
    <r>
      <rPr>
        <rFont val="Times New Roman"/>
        <b/>
        <color rgb="FF000000"/>
        <sz val="10.0"/>
        <u/>
      </rPr>
      <t>Contractor Split</t>
    </r>
    <r>
      <rPr>
        <rFont val="Times New Roman"/>
        <b val="0"/>
        <color rgb="FF000000"/>
        <sz val="10.0"/>
        <u/>
      </rPr>
      <t xml:space="preserve">: Enter the Contractor's payout percentage in % or decimal format (e.g., 0.95) in cell A5.
4. </t>
    </r>
    <r>
      <rPr>
        <rFont val="Times New Roman"/>
        <b/>
        <color rgb="FF000000"/>
        <sz val="10.0"/>
        <u/>
      </rPr>
      <t>Expenses</t>
    </r>
    <r>
      <rPr>
        <rFont val="Times New Roman"/>
        <b val="0"/>
        <color rgb="FF000000"/>
        <sz val="10.0"/>
        <u/>
      </rPr>
      <t>: Log any reimbursable expenses in columns E-G. These will be reimbursed upon contract submission and approval.</t>
    </r>
  </si>
  <si>
    <t>Contractor Payout</t>
  </si>
  <si>
    <t>CyberNest Holdings Payout</t>
  </si>
  <si>
    <t>Init Signature(Admin):________________________________________</t>
  </si>
  <si>
    <t>Date:_________________________________</t>
  </si>
  <si>
    <t>Data sign off Signature(Contractor):________________________________________</t>
  </si>
  <si>
    <t>Signature(Admin)[FINAL confirmation]:________________________________________</t>
  </si>
  <si>
    <t xml:space="preserve">Date:_________________________________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</si>
</sst>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0.0%"/>
    <numFmt numFmtId="166" formatCode="\$#,##0.00"/>
    <numFmt numFmtId="167" formatCode="#,##0.0"/>
  </numFmts>
  <fonts count="18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b/>
      <sz val="10.0"/>
      <color rgb="FFFFFFFF"/>
      <name val="Arial"/>
      <scheme val="minor"/>
    </font>
    <font/>
    <font>
      <sz val="11.0"/>
      <color rgb="FF000000"/>
      <name val="Times New Roman"/>
    </font>
    <font>
      <b/>
      <sz val="13.0"/>
      <color rgb="FF0F162A"/>
      <name val="Arial"/>
      <scheme val="minor"/>
    </font>
    <font>
      <b/>
      <sz val="13.0"/>
      <color rgb="FF1E395F"/>
      <name val="Arial"/>
      <scheme val="minor"/>
    </font>
    <font>
      <sz val="10.0"/>
      <color rgb="FF1E293A"/>
      <name val="Arial"/>
      <scheme val="minor"/>
    </font>
    <font>
      <b/>
      <sz val="11.0"/>
      <color rgb="FF1E293A"/>
      <name val="Arial"/>
      <scheme val="minor"/>
    </font>
    <font>
      <b/>
      <sz val="11.0"/>
      <color rgb="FF142D4D"/>
      <name val="Arial"/>
      <scheme val="minor"/>
    </font>
    <font>
      <b/>
      <sz val="9.0"/>
      <color rgb="FF1E293A"/>
      <name val="Arial"/>
      <scheme val="minor"/>
    </font>
    <font>
      <sz val="8.0"/>
      <color rgb="FF334154"/>
      <name val="Arial"/>
      <scheme val="minor"/>
    </font>
    <font>
      <sz val="11.0"/>
      <color rgb="FF000000"/>
      <name val="Roboto"/>
    </font>
    <font>
      <b/>
      <sz val="11.0"/>
      <color rgb="FF0F162A"/>
      <name val="Arial"/>
      <scheme val="minor"/>
    </font>
    <font>
      <b/>
      <sz val="9.0"/>
      <color rgb="FF1E395F"/>
      <name val="Arial"/>
      <scheme val="minor"/>
    </font>
    <font>
      <b/>
      <sz val="12.0"/>
      <color rgb="FF1E283B"/>
      <name val="Arial"/>
      <scheme val="minor"/>
    </font>
    <font>
      <b/>
      <sz val="10.0"/>
      <color rgb="FF0F162A"/>
      <name val="Arial"/>
      <scheme val="minor"/>
    </font>
    <font>
      <sz val="10.0"/>
      <color rgb="FF334154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E283B"/>
        <bgColor rgb="FF1E283B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  <fill>
      <patternFill patternType="solid">
        <fgColor rgb="FFEBF3F9"/>
        <bgColor rgb="FFEBF3F9"/>
      </patternFill>
    </fill>
    <fill>
      <patternFill patternType="solid">
        <fgColor rgb="FF334055"/>
        <bgColor rgb="FF334055"/>
      </patternFill>
    </fill>
    <fill>
      <patternFill patternType="solid">
        <fgColor rgb="FFEEF6FF"/>
        <bgColor rgb="FFEEF6FF"/>
      </patternFill>
    </fill>
    <fill>
      <patternFill patternType="solid">
        <fgColor rgb="FFE1E8EF"/>
        <bgColor rgb="FFE1E8EF"/>
      </patternFill>
    </fill>
    <fill>
      <patternFill patternType="solid">
        <fgColor rgb="FFF8F9FB"/>
        <bgColor rgb="FFF8F9FB"/>
      </patternFill>
    </fill>
    <fill>
      <patternFill patternType="solid">
        <fgColor rgb="FFF1F5F9"/>
        <bgColor rgb="FFF1F5F9"/>
      </patternFill>
    </fill>
    <fill>
      <patternFill patternType="solid">
        <fgColor rgb="FFDBEAFD"/>
        <bgColor rgb="FFDBEAFD"/>
      </patternFill>
    </fill>
    <fill>
      <patternFill patternType="solid">
        <fgColor rgb="FFE2E8F0"/>
        <bgColor rgb="FFE2E8F0"/>
      </patternFill>
    </fill>
  </fills>
  <borders count="45">
    <border/>
    <border>
      <left style="thin">
        <color rgb="FFC6D1E0"/>
      </left>
      <right style="thin">
        <color rgb="FFC6D1E0"/>
      </right>
      <top style="thin">
        <color rgb="FFC6D1E0"/>
      </top>
      <bottom style="thin">
        <color rgb="FFC6D1E0"/>
      </bottom>
    </border>
    <border>
      <left style="thin">
        <color rgb="FFC6D1E0"/>
      </left>
      <top style="thin">
        <color rgb="FFC6D1E0"/>
      </top>
      <bottom style="thin">
        <color rgb="FFC6D1E0"/>
      </bottom>
    </border>
    <border>
      <left style="thin">
        <color rgb="FFBFCCD8"/>
      </left>
      <top style="thin">
        <color rgb="FFBFCCD8"/>
      </top>
      <bottom style="thin">
        <color rgb="FFE1E8EF"/>
      </bottom>
    </border>
    <border>
      <top style="thin">
        <color rgb="FFBFCCD8"/>
      </top>
      <bottom style="thin">
        <color rgb="FFE1E8EF"/>
      </bottom>
    </border>
    <border>
      <right style="thin">
        <color rgb="FFBFCCD8"/>
      </right>
      <top style="thin">
        <color rgb="FFBFCCD8"/>
      </top>
      <bottom style="thin">
        <color rgb="FFE1E8EF"/>
      </bottom>
    </border>
    <border>
      <left style="thin">
        <color rgb="FFBFCCD8"/>
      </left>
      <top style="thin">
        <color rgb="FFBFCCD8"/>
      </top>
      <bottom style="thin">
        <color rgb="FFBFCCD8"/>
      </bottom>
    </border>
    <border>
      <right style="thin">
        <color rgb="FFBFCCD8"/>
      </right>
      <top style="thin">
        <color rgb="FFBFCCD8"/>
      </top>
      <bottom style="thin">
        <color rgb="FFBFCCD8"/>
      </bottom>
    </border>
    <border>
      <right/>
      <top/>
      <bottom/>
    </border>
    <border>
      <left/>
      <right/>
      <top/>
      <bottom/>
    </border>
    <border>
      <left style="thin">
        <color rgb="FFC6D1E0"/>
      </left>
      <right style="thin">
        <color rgb="FFC6D1E0"/>
      </right>
      <top style="thin">
        <color rgb="FFC6D1E0"/>
      </top>
    </border>
    <border>
      <left style="thin">
        <color rgb="FFC6D1E0"/>
      </left>
      <top style="thin">
        <color rgb="FFC6D1E0"/>
      </top>
    </border>
    <border>
      <left style="thin">
        <color rgb="FFBFCCD8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BFCCD8"/>
      </right>
      <top style="thin">
        <color rgb="FFE1E8EF"/>
      </top>
      <bottom style="thin">
        <color rgb="FFE1E8EF"/>
      </bottom>
    </border>
    <border>
      <left style="thin">
        <color rgb="FFBFCCD8"/>
      </left>
      <right style="thin">
        <color rgb="FFBFCCD8"/>
      </right>
      <top style="thin">
        <color rgb="FFBFCCD8"/>
      </top>
      <bottom style="thin">
        <color rgb="FFBFCCD8"/>
      </bottom>
    </border>
    <border>
      <left style="thin">
        <color rgb="FFBFCCD8"/>
      </left>
      <top style="thin">
        <color rgb="FFBFCCD8"/>
      </top>
    </border>
    <border>
      <right style="thin">
        <color rgb="FFBFCCD8"/>
      </right>
      <top style="thin">
        <color rgb="FFBFCCD8"/>
      </top>
    </border>
    <border>
      <right/>
      <bottom/>
    </border>
    <border>
      <left/>
      <right/>
      <bottom/>
    </border>
    <border>
      <left style="thin">
        <color rgb="FFBFCCD8"/>
      </left>
    </border>
    <border>
      <right style="thin">
        <color rgb="FFBFCCD8"/>
      </right>
    </border>
    <border>
      <left style="thin">
        <color rgb="FFBFCCD8"/>
      </left>
      <right style="thin">
        <color rgb="FFBFCCD8"/>
      </right>
      <top style="thin">
        <color rgb="FFBFCCD8"/>
      </top>
    </border>
    <border>
      <left style="thin">
        <color rgb="FFBFCCD8"/>
      </left>
      <bottom style="thin">
        <color rgb="FFBFCCD8"/>
      </bottom>
    </border>
    <border>
      <right style="thin">
        <color rgb="FFBFCCD8"/>
      </right>
      <bottom style="thin">
        <color rgb="FFBFCCD8"/>
      </bottom>
    </border>
    <border>
      <left style="medium">
        <color rgb="FF244677"/>
      </left>
      <right/>
      <top style="thin">
        <color rgb="FFCAD4E0"/>
      </top>
      <bottom/>
    </border>
    <border>
      <left/>
      <right/>
      <top style="thin">
        <color rgb="FFCAD4E0"/>
      </top>
      <bottom/>
    </border>
    <border>
      <left/>
      <right style="thin">
        <color rgb="FFCAD4E0"/>
      </right>
      <top style="thin">
        <color rgb="FFCAD4E0"/>
      </top>
      <bottom/>
    </border>
    <border>
      <right style="thin">
        <color rgb="FFE1E8EF"/>
      </right>
      <top style="thin">
        <color rgb="FFE1E8EF"/>
      </top>
      <bottom style="thin">
        <color rgb="FFE1E8EF"/>
      </bottom>
    </border>
    <border>
      <left style="medium">
        <color rgb="FF244677"/>
      </left>
      <right/>
      <top/>
      <bottom style="thin">
        <color rgb="FFCAD4E0"/>
      </bottom>
    </border>
    <border>
      <left/>
      <right/>
      <top/>
      <bottom style="thin">
        <color rgb="FFCAD4E0"/>
      </bottom>
    </border>
    <border>
      <left/>
      <right style="thin">
        <color rgb="FFCAD4E0"/>
      </right>
      <top/>
      <bottom style="thin">
        <color rgb="FFCAD4E0"/>
      </bottom>
    </border>
    <border>
      <left/>
      <bottom/>
    </border>
    <border>
      <left/>
      <right/>
      <top/>
    </border>
    <border>
      <left/>
      <top/>
    </border>
    <border>
      <left/>
      <right/>
    </border>
    <border>
      <left/>
    </border>
    <border>
      <left style="medium">
        <color rgb="FF1E395F"/>
      </left>
      <right/>
      <top style="thin">
        <color rgb="FFCAD4E0"/>
      </top>
      <bottom/>
    </border>
    <border>
      <left style="medium">
        <color rgb="FF1E395F"/>
      </left>
      <right/>
      <top/>
      <bottom style="thin">
        <color rgb="FFCAD4E0"/>
      </bottom>
    </border>
    <border>
      <left/>
      <top/>
      <bottom/>
    </border>
    <border>
      <left style="thin">
        <color rgb="FFBFCCD8"/>
      </left>
      <right style="thin">
        <color rgb="FFE1E8EF"/>
      </right>
      <top style="thin">
        <color rgb="FFE1E8EF"/>
      </top>
      <bottom style="thin">
        <color rgb="FFBFCCD8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BFCCD8"/>
      </bottom>
    </border>
    <border>
      <left style="thin">
        <color rgb="FFE1E8EF"/>
      </left>
      <right style="thin">
        <color rgb="FFBFCCD8"/>
      </right>
      <top style="thin">
        <color rgb="FFE1E8EF"/>
      </top>
      <bottom style="thin">
        <color rgb="FFBFCCD8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0"/>
    </xf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3" fontId="4" numFmtId="0" xfId="0" applyAlignment="1" applyBorder="1" applyFill="1" applyFont="1">
      <alignment shrinkToFit="0" vertical="bottom" wrapText="0"/>
    </xf>
    <xf borderId="9" fillId="3" fontId="4" numFmtId="0" xfId="0" applyAlignment="1" applyBorder="1" applyFill="1" applyFont="1">
      <alignment shrinkToFit="0" vertical="bottom" wrapText="0"/>
    </xf>
    <xf borderId="10" fillId="4" fontId="5" numFmtId="164" xfId="0" applyAlignment="1" applyBorder="1" applyFill="1" applyFont="1" applyNumberFormat="1">
      <alignment horizontal="center" shrinkToFit="0" vertical="center" wrapText="0"/>
    </xf>
    <xf borderId="10" fillId="4" fontId="5" numFmtId="165" xfId="0" applyAlignment="1" applyBorder="1" applyFill="1" applyFont="1" applyNumberFormat="1">
      <alignment horizontal="center" shrinkToFit="0" vertical="center" wrapText="0"/>
    </xf>
    <xf borderId="10" fillId="5" fontId="6" numFmtId="164" xfId="0" applyAlignment="1" applyBorder="1" applyFill="1" applyFont="1" applyNumberFormat="1">
      <alignment horizontal="center" shrinkToFit="0" vertical="center" wrapText="0"/>
    </xf>
    <xf borderId="11" fillId="5" fontId="6" numFmtId="164" xfId="0" applyAlignment="1" applyBorder="1" applyFill="1" applyFont="1" applyNumberFormat="1">
      <alignment horizontal="center" shrinkToFit="0" vertical="center" wrapText="0"/>
    </xf>
    <xf borderId="12" fillId="6" fontId="1" numFmtId="0" xfId="0" applyAlignment="1" applyBorder="1" applyFill="1" applyFont="1">
      <alignment horizontal="center" shrinkToFit="0" vertical="center" wrapText="0"/>
    </xf>
    <xf borderId="13" fillId="6" fontId="1" numFmtId="166" xfId="0" applyAlignment="1" applyBorder="1" applyFill="1" applyFont="1" applyNumberFormat="1">
      <alignment horizontal="center" shrinkToFit="0" vertical="center" wrapText="0"/>
    </xf>
    <xf borderId="14" fillId="6" fontId="1" numFmtId="0" xfId="0" applyAlignment="1" applyBorder="1" applyFill="1" applyFont="1">
      <alignment horizontal="center" shrinkToFit="0" vertical="center" wrapText="0"/>
    </xf>
    <xf borderId="15" fillId="6" fontId="1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ill="1" applyFont="1">
      <alignment horizontal="center" shrinkToFit="0" vertical="center" wrapText="0"/>
    </xf>
    <xf borderId="12" fillId="3" fontId="7" numFmtId="0" xfId="0" applyAlignment="1" applyBorder="1" applyFill="1" applyFont="1">
      <alignment horizontal="left" shrinkToFit="0" vertical="center" wrapText="0"/>
    </xf>
    <xf borderId="13" fillId="3" fontId="7" numFmtId="164" xfId="0" applyAlignment="1" applyBorder="1" applyFill="1" applyFont="1" applyNumberFormat="1">
      <alignment horizontal="right" shrinkToFit="0" vertical="center" wrapText="0"/>
    </xf>
    <xf borderId="14" fillId="3" fontId="7" numFmtId="0" xfId="0" applyAlignment="1" applyBorder="1" applyFill="1" applyFont="1">
      <alignment horizontal="left" shrinkToFit="0" vertical="center" wrapText="0"/>
    </xf>
    <xf borderId="15" fillId="3" fontId="8" numFmtId="167" xfId="0" applyAlignment="1" applyBorder="1" applyFill="1" applyFont="1" applyNumberFormat="1">
      <alignment horizontal="center" shrinkToFit="0" vertical="center" wrapText="0"/>
    </xf>
    <xf borderId="15" fillId="7" fontId="9" numFmtId="164" xfId="0" applyAlignment="1" applyBorder="1" applyFill="1" applyFont="1" applyNumberFormat="1">
      <alignment horizontal="center" shrinkToFit="0" vertical="center" wrapText="0"/>
    </xf>
    <xf borderId="15" fillId="8" fontId="10" numFmtId="0" xfId="0" applyAlignment="1" applyBorder="1" applyFill="1" applyFont="1">
      <alignment horizontal="center" shrinkToFit="0" vertical="center" wrapText="1"/>
    </xf>
    <xf borderId="16" fillId="9" fontId="11" numFmtId="0" xfId="0" applyAlignment="1" applyBorder="1" applyFill="1" applyFont="1">
      <alignment horizontal="left" shrinkToFit="0" vertical="top" wrapText="1"/>
    </xf>
    <xf borderId="17" fillId="0" fontId="3" numFmtId="0" xfId="0" applyBorder="1" applyFont="1"/>
    <xf borderId="12" fillId="10" fontId="7" numFmtId="0" xfId="0" applyAlignment="1" applyBorder="1" applyFill="1" applyFont="1">
      <alignment horizontal="left" shrinkToFit="0" vertical="center" wrapText="0"/>
    </xf>
    <xf borderId="13" fillId="10" fontId="7" numFmtId="164" xfId="0" applyAlignment="1" applyBorder="1" applyFill="1" applyFont="1" applyNumberFormat="1">
      <alignment horizontal="right" shrinkToFit="0" vertical="center" wrapText="0"/>
    </xf>
    <xf borderId="14" fillId="10" fontId="7" numFmtId="0" xfId="0" applyAlignment="1" applyBorder="1" applyFill="1" applyFont="1">
      <alignment horizontal="left" shrinkToFit="0" vertical="center" wrapText="0"/>
    </xf>
    <xf borderId="18" fillId="3" fontId="12" numFmtId="0" xfId="0" applyAlignment="1" applyBorder="1" applyFill="1" applyFont="1">
      <alignment shrinkToFit="0" vertical="bottom" wrapText="0"/>
    </xf>
    <xf borderId="19" fillId="3" fontId="12" numFmtId="0" xfId="0" applyAlignment="1" applyBorder="1" applyFill="1" applyFont="1">
      <alignment shrinkToFit="0" vertical="bottom" wrapText="0"/>
    </xf>
    <xf borderId="15" fillId="3" fontId="13" numFmtId="165" xfId="0" applyAlignment="1" applyBorder="1" applyFill="1" applyFont="1" applyNumberFormat="1">
      <alignment horizontal="center" readingOrder="0" shrinkToFit="0" vertical="center" wrapText="0"/>
    </xf>
    <xf borderId="15" fillId="3" fontId="13" numFmtId="165" xfId="0" applyAlignment="1" applyBorder="1" applyFill="1" applyFont="1" applyNumberFormat="1">
      <alignment horizontal="center" shrinkToFit="0" vertical="center" wrapText="0"/>
    </xf>
    <xf borderId="20" fillId="0" fontId="3" numFmtId="0" xfId="0" applyBorder="1" applyFont="1"/>
    <xf borderId="21" fillId="0" fontId="3" numFmtId="0" xfId="0" applyBorder="1" applyFont="1"/>
    <xf borderId="8" fillId="3" fontId="12" numFmtId="0" xfId="0" applyAlignment="1" applyBorder="1" applyFill="1" applyFont="1">
      <alignment shrinkToFit="0" vertical="bottom" wrapText="0"/>
    </xf>
    <xf borderId="9" fillId="3" fontId="12" numFmtId="0" xfId="0" applyAlignment="1" applyBorder="1" applyFill="1" applyFont="1">
      <alignment shrinkToFit="0" vertical="bottom" wrapText="0"/>
    </xf>
    <xf borderId="15" fillId="11" fontId="14" numFmtId="0" xfId="0" applyAlignment="1" applyBorder="1" applyFill="1" applyFont="1">
      <alignment horizontal="center" shrinkToFit="0" vertical="center" wrapText="1"/>
    </xf>
    <xf borderId="22" fillId="12" fontId="15" numFmtId="164" xfId="0" applyAlignment="1" applyBorder="1" applyFill="1" applyFont="1" applyNumberFormat="1">
      <alignment horizontal="center" shrinkToFit="0" vertical="center" wrapText="0"/>
    </xf>
    <xf borderId="23" fillId="0" fontId="3" numFmtId="0" xfId="0" applyBorder="1" applyFont="1"/>
    <xf borderId="24" fillId="0" fontId="3" numFmtId="0" xfId="0" applyBorder="1" applyFont="1"/>
    <xf borderId="25" fillId="9" fontId="16" numFmtId="0" xfId="0" applyAlignment="1" applyBorder="1" applyFill="1" applyFont="1">
      <alignment readingOrder="0" shrinkToFit="0" vertical="center" wrapText="0"/>
    </xf>
    <xf borderId="26" fillId="9" fontId="12" numFmtId="0" xfId="0" applyAlignment="1" applyBorder="1" applyFill="1" applyFont="1">
      <alignment shrinkToFit="0" vertical="bottom" wrapText="0"/>
    </xf>
    <xf borderId="27" fillId="9" fontId="12" numFmtId="0" xfId="0" applyAlignment="1" applyBorder="1" applyFill="1" applyFont="1">
      <alignment shrinkToFit="0" vertical="bottom" wrapText="0"/>
    </xf>
    <xf borderId="28" fillId="10" fontId="7" numFmtId="0" xfId="0" applyAlignment="1" applyBorder="1" applyFill="1" applyFont="1">
      <alignment horizontal="left" shrinkToFit="0" vertical="center" wrapText="0"/>
    </xf>
    <xf borderId="29" fillId="9" fontId="17" numFmtId="0" xfId="0" applyAlignment="1" applyBorder="1" applyFill="1" applyFont="1">
      <alignment shrinkToFit="0" vertical="center" wrapText="0"/>
    </xf>
    <xf borderId="30" fillId="9" fontId="12" numFmtId="0" xfId="0" applyAlignment="1" applyBorder="1" applyFill="1" applyFont="1">
      <alignment shrinkToFit="0" vertical="bottom" wrapText="0"/>
    </xf>
    <xf borderId="31" fillId="9" fontId="12" numFmtId="0" xfId="0" applyAlignment="1" applyBorder="1" applyFill="1" applyFont="1">
      <alignment shrinkToFit="0" vertical="bottom" wrapText="0"/>
    </xf>
    <xf borderId="28" fillId="3" fontId="7" numFmtId="0" xfId="0" applyAlignment="1" applyBorder="1" applyFill="1" applyFont="1">
      <alignment horizontal="left" shrinkToFit="0" vertical="center" wrapText="0"/>
    </xf>
    <xf borderId="32" fillId="3" fontId="12" numFmtId="0" xfId="0" applyAlignment="1" applyBorder="1" applyFill="1" applyFont="1">
      <alignment shrinkToFit="0" vertical="bottom" wrapText="0"/>
    </xf>
    <xf borderId="33" fillId="3" fontId="12" numFmtId="0" xfId="0" applyAlignment="1" applyBorder="1" applyFill="1" applyFont="1">
      <alignment shrinkToFit="0" vertical="bottom" wrapText="0"/>
    </xf>
    <xf borderId="34" fillId="3" fontId="12" numFmtId="0" xfId="0" applyAlignment="1" applyBorder="1" applyFill="1" applyFont="1">
      <alignment shrinkToFit="0" vertical="bottom" wrapText="0"/>
    </xf>
    <xf borderId="35" fillId="3" fontId="12" numFmtId="0" xfId="0" applyAlignment="1" applyBorder="1" applyFill="1" applyFont="1">
      <alignment shrinkToFit="0" vertical="bottom" wrapText="0"/>
    </xf>
    <xf borderId="36" fillId="3" fontId="12" numFmtId="0" xfId="0" applyAlignment="1" applyBorder="1" applyFill="1" applyFont="1">
      <alignment shrinkToFit="0" vertical="bottom" wrapText="0"/>
    </xf>
    <xf borderId="37" fillId="9" fontId="16" numFmtId="0" xfId="0" applyAlignment="1" applyBorder="1" applyFill="1" applyFont="1">
      <alignment readingOrder="0" shrinkToFit="0" vertical="center" wrapText="0"/>
    </xf>
    <xf borderId="38" fillId="9" fontId="17" numFmtId="0" xfId="0" applyAlignment="1" applyBorder="1" applyFill="1" applyFont="1">
      <alignment shrinkToFit="0" vertical="center" wrapText="0"/>
    </xf>
    <xf borderId="39" fillId="3" fontId="12" numFmtId="0" xfId="0" applyAlignment="1" applyBorder="1" applyFill="1" applyFont="1">
      <alignment shrinkToFit="0" vertical="bottom" wrapText="0"/>
    </xf>
    <xf borderId="40" fillId="10" fontId="7" numFmtId="0" xfId="0" applyAlignment="1" applyBorder="1" applyFill="1" applyFont="1">
      <alignment horizontal="left" shrinkToFit="0" vertical="center" wrapText="0"/>
    </xf>
    <xf borderId="41" fillId="10" fontId="7" numFmtId="164" xfId="0" applyAlignment="1" applyBorder="1" applyFill="1" applyFont="1" applyNumberFormat="1">
      <alignment horizontal="right" shrinkToFit="0" vertical="center" wrapText="0"/>
    </xf>
    <xf borderId="42" fillId="10" fontId="7" numFmtId="0" xfId="0" applyAlignment="1" applyBorder="1" applyFill="1" applyFont="1">
      <alignment horizontal="left" shrinkToFit="0" vertical="center" wrapText="0"/>
    </xf>
    <xf borderId="43" fillId="3" fontId="12" numFmtId="0" xfId="0" applyAlignment="1" applyBorder="1" applyFill="1" applyFont="1">
      <alignment shrinkToFit="0" vertical="bottom" wrapText="0"/>
    </xf>
    <xf borderId="43" fillId="3" fontId="12" numFmtId="166" xfId="0" applyAlignment="1" applyBorder="1" applyFill="1" applyFont="1" applyNumberFormat="1">
      <alignment shrinkToFit="0" vertical="bottom" wrapText="0"/>
    </xf>
    <xf borderId="44" fillId="10" fontId="12" numFmtId="0" xfId="0" applyAlignment="1" applyBorder="1" applyFill="1" applyFont="1">
      <alignment shrinkToFit="0" vertical="bottom" wrapText="0"/>
    </xf>
    <xf borderId="44" fillId="10" fontId="12" numFmtId="166" xfId="0" applyAlignment="1" applyBorder="1" applyFill="1" applyFont="1" applyNumberFormat="1">
      <alignment shrinkToFit="0" vertical="bottom" wrapText="0"/>
    </xf>
    <xf borderId="44" fillId="3" fontId="12" numFmtId="0" xfId="0" applyAlignment="1" applyBorder="1" applyFill="1" applyFont="1">
      <alignment shrinkToFit="0" vertical="bottom" wrapText="0"/>
    </xf>
    <xf borderId="44" fillId="3" fontId="12" numFmtId="166" xfId="0" applyAlignment="1" applyBorder="1" applyFill="1" applyFont="1" applyNumberFormat="1">
      <alignment shrinkToFit="0" vertical="bottom" wrapText="0"/>
    </xf>
    <xf borderId="44" fillId="3" fontId="4" numFmtId="0" xfId="0" applyAlignment="1" applyBorder="1" applyFill="1" applyFont="1">
      <alignment shrinkToFit="0" vertical="bottom" wrapText="0"/>
    </xf>
    <xf borderId="44" fillId="3" fontId="4" numFmtId="166" xfId="0" applyAlignment="1" applyBorder="1" applyFill="1" applyFont="1" applyNumberFormat="1">
      <alignment shrinkToFit="0" vertical="bottom" wrapText="0"/>
    </xf>
    <xf borderId="44" fillId="10" fontId="4" numFmtId="0" xfId="0" applyAlignment="1" applyBorder="1" applyFill="1" applyFont="1">
      <alignment shrinkToFit="0" vertical="bottom" wrapText="0"/>
    </xf>
    <xf borderId="44" fillId="10" fontId="4" numFmtId="166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88"/>
    <col customWidth="1" min="2" max="5" width="22.63"/>
    <col customWidth="1" min="6" max="6" width="20.13"/>
    <col customWidth="1" min="7" max="7" width="25.13"/>
    <col customWidth="1" min="8" max="9" width="18.25"/>
    <col customWidth="1" min="10" max="26" width="12.63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/>
      <c r="G1" s="6"/>
      <c r="H1" s="7" t="s">
        <v>5</v>
      </c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7.0" customHeight="1">
      <c r="A2" s="11">
        <v>85.0</v>
      </c>
      <c r="B2" s="12">
        <v>0.3</v>
      </c>
      <c r="C2" s="13">
        <f>A2-(A2* B2)</f>
        <v>59.5</v>
      </c>
      <c r="D2" s="14">
        <f>SUM(F3:F1000)</f>
        <v>0</v>
      </c>
      <c r="E2" s="15" t="s">
        <v>6</v>
      </c>
      <c r="F2" s="16" t="s">
        <v>7</v>
      </c>
      <c r="G2" s="17" t="s">
        <v>8</v>
      </c>
      <c r="H2" s="18" t="s">
        <v>9</v>
      </c>
      <c r="I2" s="18" t="s">
        <v>10</v>
      </c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19" t="s">
        <v>11</v>
      </c>
      <c r="B3" s="8"/>
      <c r="C3" s="19" t="s">
        <v>12</v>
      </c>
      <c r="D3" s="8"/>
      <c r="E3" s="20"/>
      <c r="F3" s="21"/>
      <c r="G3" s="22"/>
      <c r="H3" s="23">
        <v>0.0</v>
      </c>
      <c r="I3" s="24">
        <f>H3*0.15</f>
        <v>0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0" customHeight="1">
      <c r="A4" s="25" t="s">
        <v>13</v>
      </c>
      <c r="B4" s="25" t="s">
        <v>14</v>
      </c>
      <c r="C4" s="26" t="s">
        <v>15</v>
      </c>
      <c r="D4" s="27"/>
      <c r="E4" s="28"/>
      <c r="F4" s="29"/>
      <c r="G4" s="30"/>
      <c r="H4" s="31"/>
      <c r="I4" s="3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0" customHeight="1">
      <c r="A5" s="33">
        <v>0.75</v>
      </c>
      <c r="B5" s="34">
        <f>1-A5</f>
        <v>0.25</v>
      </c>
      <c r="C5" s="35"/>
      <c r="D5" s="36"/>
      <c r="E5" s="20"/>
      <c r="F5" s="21"/>
      <c r="G5" s="22"/>
      <c r="H5" s="37"/>
      <c r="I5" s="38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0" customHeight="1">
      <c r="A6" s="39" t="s">
        <v>16</v>
      </c>
      <c r="B6" s="39" t="s">
        <v>17</v>
      </c>
      <c r="C6" s="35"/>
      <c r="D6" s="36"/>
      <c r="E6" s="28"/>
      <c r="F6" s="29"/>
      <c r="G6" s="30"/>
      <c r="H6" s="37"/>
      <c r="I6" s="3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8.5" customHeight="1">
      <c r="A7" s="40">
        <f>A5*C2</f>
        <v>44.625</v>
      </c>
      <c r="B7" s="40">
        <f>B5*C2</f>
        <v>14.875</v>
      </c>
      <c r="C7" s="41"/>
      <c r="D7" s="42"/>
      <c r="E7" s="20"/>
      <c r="F7" s="21"/>
      <c r="G7" s="22"/>
      <c r="H7" s="37"/>
      <c r="I7" s="38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0" customHeight="1">
      <c r="A8" s="43" t="s">
        <v>18</v>
      </c>
      <c r="B8" s="44"/>
      <c r="C8" s="44"/>
      <c r="D8" s="45"/>
      <c r="E8" s="46"/>
      <c r="F8" s="29"/>
      <c r="G8" s="30"/>
      <c r="H8" s="37"/>
      <c r="I8" s="38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1.0" customHeight="1">
      <c r="A9" s="47" t="s">
        <v>19</v>
      </c>
      <c r="B9" s="48"/>
      <c r="C9" s="48"/>
      <c r="D9" s="49"/>
      <c r="E9" s="50"/>
      <c r="F9" s="21"/>
      <c r="G9" s="22"/>
      <c r="H9" s="37"/>
      <c r="I9" s="38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32"/>
      <c r="B10" s="32"/>
      <c r="C10" s="32"/>
      <c r="D10" s="51"/>
      <c r="E10" s="28"/>
      <c r="F10" s="29"/>
      <c r="G10" s="30"/>
      <c r="H10" s="37"/>
      <c r="I10" s="38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3.5" customHeight="1">
      <c r="A11" s="52"/>
      <c r="B11" s="52"/>
      <c r="C11" s="52"/>
      <c r="D11" s="53"/>
      <c r="E11" s="20"/>
      <c r="F11" s="21"/>
      <c r="G11" s="22"/>
      <c r="H11" s="37"/>
      <c r="I11" s="3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0" customHeight="1">
      <c r="A12" s="43" t="s">
        <v>20</v>
      </c>
      <c r="B12" s="44"/>
      <c r="C12" s="44"/>
      <c r="D12" s="45"/>
      <c r="E12" s="46"/>
      <c r="F12" s="29"/>
      <c r="G12" s="30"/>
      <c r="H12" s="37"/>
      <c r="I12" s="3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0" customHeight="1">
      <c r="A13" s="47" t="s">
        <v>19</v>
      </c>
      <c r="B13" s="48"/>
      <c r="C13" s="48"/>
      <c r="D13" s="49"/>
      <c r="E13" s="50"/>
      <c r="F13" s="21"/>
      <c r="G13" s="22"/>
      <c r="H13" s="37"/>
      <c r="I13" s="3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54"/>
      <c r="B14" s="54"/>
      <c r="C14" s="54"/>
      <c r="D14" s="55"/>
      <c r="E14" s="28"/>
      <c r="F14" s="29"/>
      <c r="G14" s="30"/>
      <c r="H14" s="37"/>
      <c r="I14" s="3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0" customHeight="1">
      <c r="A15" s="56" t="s">
        <v>21</v>
      </c>
      <c r="B15" s="44"/>
      <c r="C15" s="44"/>
      <c r="D15" s="45"/>
      <c r="E15" s="50"/>
      <c r="F15" s="21"/>
      <c r="G15" s="22"/>
      <c r="H15" s="37"/>
      <c r="I15" s="3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1.0" customHeight="1">
      <c r="A16" s="57" t="s">
        <v>22</v>
      </c>
      <c r="B16" s="48"/>
      <c r="C16" s="48"/>
      <c r="D16" s="49"/>
      <c r="E16" s="46"/>
      <c r="F16" s="29"/>
      <c r="G16" s="30"/>
      <c r="H16" s="37"/>
      <c r="I16" s="3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32"/>
      <c r="B17" s="32"/>
      <c r="C17" s="32"/>
      <c r="D17" s="51"/>
      <c r="E17" s="20"/>
      <c r="F17" s="21"/>
      <c r="G17" s="22"/>
      <c r="H17" s="37"/>
      <c r="I17" s="3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38"/>
      <c r="B18" s="38"/>
      <c r="C18" s="38"/>
      <c r="D18" s="58"/>
      <c r="E18" s="28"/>
      <c r="F18" s="29"/>
      <c r="G18" s="30"/>
      <c r="H18" s="37"/>
      <c r="I18" s="3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8"/>
      <c r="B19" s="38"/>
      <c r="C19" s="38"/>
      <c r="D19" s="58"/>
      <c r="E19" s="20"/>
      <c r="F19" s="21"/>
      <c r="G19" s="22"/>
      <c r="H19" s="37"/>
      <c r="I19" s="3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38"/>
      <c r="B20" s="38"/>
      <c r="C20" s="38"/>
      <c r="D20" s="58"/>
      <c r="E20" s="59"/>
      <c r="F20" s="60"/>
      <c r="G20" s="61"/>
      <c r="H20" s="37"/>
      <c r="I20" s="3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6.25" customHeight="1">
      <c r="A21" s="38"/>
      <c r="B21" s="38"/>
      <c r="C21" s="38"/>
      <c r="D21" s="38"/>
      <c r="E21" s="62"/>
      <c r="F21" s="63"/>
      <c r="G21" s="62"/>
      <c r="H21" s="38"/>
      <c r="I21" s="3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6.25" customHeight="1">
      <c r="A22" s="38"/>
      <c r="B22" s="38"/>
      <c r="C22" s="38"/>
      <c r="D22" s="38"/>
      <c r="E22" s="64"/>
      <c r="F22" s="65"/>
      <c r="G22" s="64"/>
      <c r="H22" s="38"/>
      <c r="I22" s="3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6.25" customHeight="1">
      <c r="A23" s="38"/>
      <c r="B23" s="38"/>
      <c r="C23" s="38"/>
      <c r="D23" s="38"/>
      <c r="E23" s="66"/>
      <c r="F23" s="67"/>
      <c r="G23" s="66"/>
      <c r="H23" s="38"/>
      <c r="I23" s="3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6.25" customHeight="1">
      <c r="A24" s="38"/>
      <c r="B24" s="38"/>
      <c r="C24" s="38"/>
      <c r="D24" s="38"/>
      <c r="E24" s="64"/>
      <c r="F24" s="65"/>
      <c r="G24" s="64"/>
      <c r="H24" s="38"/>
      <c r="I24" s="3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6.25" customHeight="1">
      <c r="A25" s="38"/>
      <c r="B25" s="38"/>
      <c r="C25" s="38"/>
      <c r="D25" s="38"/>
      <c r="E25" s="66"/>
      <c r="F25" s="67"/>
      <c r="G25" s="66"/>
      <c r="H25" s="38"/>
      <c r="I25" s="3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6.25" customHeight="1">
      <c r="A26" s="38"/>
      <c r="B26" s="38"/>
      <c r="C26" s="38"/>
      <c r="D26" s="38"/>
      <c r="E26" s="64"/>
      <c r="F26" s="65"/>
      <c r="G26" s="64"/>
      <c r="H26" s="38"/>
      <c r="I26" s="3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6.25" customHeight="1">
      <c r="A27" s="38"/>
      <c r="B27" s="38"/>
      <c r="C27" s="38"/>
      <c r="D27" s="38"/>
      <c r="E27" s="66"/>
      <c r="F27" s="67"/>
      <c r="G27" s="66"/>
      <c r="H27" s="38"/>
      <c r="I27" s="38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6.25" customHeight="1">
      <c r="A28" s="38"/>
      <c r="B28" s="38"/>
      <c r="C28" s="38"/>
      <c r="D28" s="38"/>
      <c r="E28" s="64"/>
      <c r="F28" s="65"/>
      <c r="G28" s="64"/>
      <c r="H28" s="38"/>
      <c r="I28" s="3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6.25" customHeight="1">
      <c r="A29" s="38"/>
      <c r="B29" s="38"/>
      <c r="C29" s="38"/>
      <c r="D29" s="38"/>
      <c r="E29" s="66"/>
      <c r="F29" s="67"/>
      <c r="G29" s="66"/>
      <c r="H29" s="38"/>
      <c r="I29" s="3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6.25" customHeight="1">
      <c r="A30" s="38"/>
      <c r="B30" s="38"/>
      <c r="C30" s="38"/>
      <c r="D30" s="38"/>
      <c r="E30" s="64"/>
      <c r="F30" s="65"/>
      <c r="G30" s="64"/>
      <c r="H30" s="38"/>
      <c r="I30" s="3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6.25" customHeight="1">
      <c r="A31" s="10"/>
      <c r="B31" s="10"/>
      <c r="C31" s="10"/>
      <c r="D31" s="10"/>
      <c r="E31" s="68"/>
      <c r="F31" s="69"/>
      <c r="G31" s="6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6.25" customHeight="1">
      <c r="A32" s="10"/>
      <c r="B32" s="10"/>
      <c r="C32" s="10"/>
      <c r="D32" s="10"/>
      <c r="E32" s="70"/>
      <c r="F32" s="71"/>
      <c r="G32" s="7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6.25" customHeight="1">
      <c r="A33" s="10"/>
      <c r="B33" s="10"/>
      <c r="C33" s="10"/>
      <c r="D33" s="10"/>
      <c r="E33" s="68"/>
      <c r="F33" s="69"/>
      <c r="G33" s="6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6.25" customHeight="1">
      <c r="A34" s="10"/>
      <c r="B34" s="10"/>
      <c r="C34" s="10"/>
      <c r="D34" s="10"/>
      <c r="E34" s="70"/>
      <c r="F34" s="71"/>
      <c r="G34" s="7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6.25" customHeight="1">
      <c r="A35" s="10"/>
      <c r="B35" s="10"/>
      <c r="C35" s="10"/>
      <c r="D35" s="10"/>
      <c r="E35" s="68"/>
      <c r="F35" s="69"/>
      <c r="G35" s="68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6.25" customHeight="1">
      <c r="A36" s="10"/>
      <c r="B36" s="10"/>
      <c r="C36" s="10"/>
      <c r="D36" s="10"/>
      <c r="E36" s="70"/>
      <c r="F36" s="71"/>
      <c r="G36" s="7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6.25" customHeight="1">
      <c r="A37" s="10"/>
      <c r="B37" s="10"/>
      <c r="C37" s="10"/>
      <c r="D37" s="10"/>
      <c r="E37" s="68"/>
      <c r="F37" s="69"/>
      <c r="G37" s="6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6.25" customHeight="1">
      <c r="A38" s="10"/>
      <c r="B38" s="10"/>
      <c r="C38" s="10"/>
      <c r="D38" s="10"/>
      <c r="E38" s="70"/>
      <c r="F38" s="71"/>
      <c r="G38" s="7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6.25" customHeight="1">
      <c r="A39" s="10"/>
      <c r="B39" s="10"/>
      <c r="C39" s="10"/>
      <c r="D39" s="10"/>
      <c r="E39" s="68"/>
      <c r="F39" s="69"/>
      <c r="G39" s="68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6.25" customHeight="1">
      <c r="A40" s="10"/>
      <c r="B40" s="10"/>
      <c r="C40" s="10"/>
      <c r="D40" s="10"/>
      <c r="E40" s="70"/>
      <c r="F40" s="71"/>
      <c r="G40" s="7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6.25" customHeight="1">
      <c r="A41" s="10"/>
      <c r="B41" s="10"/>
      <c r="C41" s="10"/>
      <c r="D41" s="10"/>
      <c r="E41" s="68"/>
      <c r="F41" s="69"/>
      <c r="G41" s="68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6.25" customHeight="1">
      <c r="A42" s="10"/>
      <c r="B42" s="10"/>
      <c r="C42" s="10"/>
      <c r="D42" s="10"/>
      <c r="E42" s="70"/>
      <c r="F42" s="71"/>
      <c r="G42" s="7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6.25" customHeight="1">
      <c r="A43" s="10"/>
      <c r="B43" s="10"/>
      <c r="C43" s="10"/>
      <c r="D43" s="10"/>
      <c r="E43" s="68"/>
      <c r="F43" s="69"/>
      <c r="G43" s="68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6.25" customHeight="1">
      <c r="A44" s="10"/>
      <c r="B44" s="10"/>
      <c r="C44" s="10"/>
      <c r="D44" s="10"/>
      <c r="E44" s="70"/>
      <c r="F44" s="71"/>
      <c r="G44" s="7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6.25" customHeight="1">
      <c r="A45" s="10"/>
      <c r="B45" s="10"/>
      <c r="C45" s="10"/>
      <c r="D45" s="10"/>
      <c r="E45" s="68"/>
      <c r="F45" s="69"/>
      <c r="G45" s="68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6.25" customHeight="1">
      <c r="A46" s="10"/>
      <c r="B46" s="10"/>
      <c r="C46" s="10"/>
      <c r="D46" s="10"/>
      <c r="E46" s="70"/>
      <c r="F46" s="71"/>
      <c r="G46" s="7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6.25" customHeight="1">
      <c r="A47" s="10"/>
      <c r="B47" s="10"/>
      <c r="C47" s="10"/>
      <c r="D47" s="10"/>
      <c r="E47" s="68"/>
      <c r="F47" s="69"/>
      <c r="G47" s="6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6.25" customHeight="1">
      <c r="A48" s="10"/>
      <c r="B48" s="10"/>
      <c r="C48" s="10"/>
      <c r="D48" s="10"/>
      <c r="E48" s="70"/>
      <c r="F48" s="71"/>
      <c r="G48" s="7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6.25" customHeight="1">
      <c r="A49" s="10"/>
      <c r="B49" s="10"/>
      <c r="C49" s="10"/>
      <c r="D49" s="10"/>
      <c r="E49" s="68"/>
      <c r="F49" s="69"/>
      <c r="G49" s="68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6.25" customHeight="1">
      <c r="A50" s="10"/>
      <c r="B50" s="10"/>
      <c r="C50" s="10"/>
      <c r="D50" s="10"/>
      <c r="E50" s="70"/>
      <c r="F50" s="71"/>
      <c r="G50" s="7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G1"/>
    <mergeCell ref="H1:I1"/>
    <mergeCell ref="A3:B3"/>
    <mergeCell ref="C3:D3"/>
    <mergeCell ref="C4:D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